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29B25E9E-B0C2-42F0-81BA-C459AB2DBD78}"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E15" i="1"/>
  <c r="D16" i="1"/>
  <c r="E16" i="1" s="1"/>
  <c r="D17" i="1"/>
  <c r="E17" i="1" s="1"/>
  <c r="E18" i="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F16" i="1"/>
  <c r="G16" i="1" s="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<sst xmlns="http://schemas.openxmlformats.org/spreadsheetml/2006/main" count="88" uniqueCount="67">
  <si>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</si>
  <si>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</si>
  <si>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</si>
  <si>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</si>
  <si>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</si>
  <si>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</si>
  <si>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</si>
  <si>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</si>
  <si>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</si>
  <si>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</si>
  <si>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</si>
  <si>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</si>
  <si>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</si>
  <si>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</si>
  <si>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</si>
  <si>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</si>
  <si>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</si>
  <si>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</si>
  <si>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</si>
  <si>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</si>
  <si>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</si>
  <si>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</si>
  <si>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</si>
  <si>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</si>
  <si>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</si>
  <si>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</si>
  <si>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</si>
  <si>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</si>
  <si>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</si>
  <si>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</si>
  <si>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</si>
  <si>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</si>
  <si>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</si>
  <si>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</si>
  <si>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</si>
  <si>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</si>
  <si>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</si>
  <si>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</si>
  <si>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</si>
  <si>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</si>
  <si>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</si>
  <si>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</si>
  <si>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</si>
  <si>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</si>
  <si>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</si>
  <si>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</si>
  <si>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</si>
  <si>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</si>
  <si>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</si>
  <si>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</si>
  <si>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</si>
  <si>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</si>
  <si>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</si>
  <si>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</si>
  <si>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</si>
  <si>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</si>
  <si>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</si>
  <si>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</si>
  <si>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</si>
  <si>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</si>
  <si>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</si>
  <si>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</si>
  <si>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</si>
  <si>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MARTINEZ GONZALEZ ALEJANDRO JAVIER</t>
  </si>
  <si>
    <t>ROMERO ESPINOZA FELIPE IGNACIO</t>
  </si>
  <si>
    <t>HUENULLAN ACEVEDO NATANAEL EUSEBIO</t>
  </si>
  <si>
    <t>Ha sido en general un buen trabajo, han ido superando barreras lo cual es excelente, van por un buen camino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</si>
</sst>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rgb="FF000000"/>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28" xfId="0" applyFont="1" applyFill="1" applyBorder="1"/>
    <xf numFmtId="0" fontId="14" fillId="8" borderId="0" xfId="0" applyFont="1" applyFill="1" applyBorder="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0" t="s">
        <v>63</v>
      </c>
      <c r="C4" s="5">
        <f>EVALUACION2!$C$22</f>
        <v>6.1</v>
      </c>
      <c r="G4" s="1"/>
    </row>
    <row r="5" spans="1:11">
      <c r="A5" s="4">
        <v>2</v>
      </c>
      <c r="B5" s="60" t="s">
        <v>64</v>
      </c>
      <c r="C5" s="5">
        <f>EVALUACION2!$C$22</f>
        <v>6.1</v>
      </c>
      <c r="G5" s="1"/>
    </row>
    <row r="6" spans="1:11">
      <c r="A6" s="4">
        <v>3</v>
      </c>
      <c r="B6" s="60" t="s">
        <v>65</v>
      </c>
      <c r="C6" s="5">
        <f>EVALUACION2!$C$22</f>
        <v>6.1</v>
      </c>
      <c r="G6" s="1"/>
    </row>
    <row r="8" spans="1:11" ht="30">
      <c r="B8" s="61" t="s">
        <v>66</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3"/>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t="str">
        <f t="shared" si="2"/>
        <v/>
      </c>
      <c r="I15" s="15" t="str">
        <f>IF(H15="X",30*0.25,"")</f>
        <v/>
      </c>
      <c r="J15" s="15" t="str">
        <f t="shared" si="3"/>
        <v/>
      </c>
      <c r="K15" s="15" t="str">
        <f t="shared" si="4"/>
        <v/>
      </c>
    </row>
    <row r="16" spans="1:11" ht="24" outlineLevel="1">
      <c r="A16" s="43"/>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3"/>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c r="E18" s="15" t="str">
        <f>IF(D18="X",100*0.2,"")</f>
        <v/>
      </c>
      <c r="F18" s="15" t="s">
        <v>41</v>
      </c>
      <c r="G18" s="15">
        <f>IF(F18="X",60*0.2,"")</f>
        <v>12</v>
      </c>
      <c r="H18" s="15" t="str">
        <f>IF($C18=ML,"X","")</f>
        <v/>
      </c>
      <c r="I18" s="15" t="str">
        <f>IF(H18="X",30*0.2,"")</f>
        <v/>
      </c>
      <c r="J18" s="15" t="str">
        <f>IF($C18=NL,"X","")</f>
        <v/>
      </c>
      <c r="K18" s="15" t="str">
        <f t="shared" ref="K18:K20" si="5">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2"/>
      <c r="B21" s="26" t="s">
        <v>4</v>
      </c>
      <c r="C21" s="30">
        <f>E21+G21+I21+K21</f>
        <v>88</v>
      </c>
      <c r="D21" s="16"/>
      <c r="E21" s="16">
        <f>SUM(E13:E20)</f>
        <v>70</v>
      </c>
      <c r="F21" s="16"/>
      <c r="G21" s="16">
        <f>SUM(G13:G20)</f>
        <v>18</v>
      </c>
      <c r="H21" s="16"/>
      <c r="I21" s="16">
        <f>SUM(I13:I20)</f>
        <v>0</v>
      </c>
      <c r="J21" s="16"/>
      <c r="K21" s="16">
        <f>SUM(K13:K20)</f>
        <v>0</v>
      </c>
    </row>
    <row r="22" spans="1:11" ht="15.75" customHeight="1" outlineLevel="1">
      <c r="A22" s="44"/>
      <c r="B22" s="29" t="s">
        <v>13</v>
      </c>
      <c r="C22" s="17">
        <f>VLOOKUP(C21,ESCALA_IEP!A2:B202,2,FALSE)</f>
        <v>6.1</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2025-11-14T12:47:51Z</dcterms:modified>
</cp:coreProperties>
</file>